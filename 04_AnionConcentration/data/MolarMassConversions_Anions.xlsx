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wu2-my.sharepoint.com/personal/ryane7_wwu_edu/Documents/07_Manuscripts/Analysis/AnionConcentration/"/>
    </mc:Choice>
  </mc:AlternateContent>
  <xr:revisionPtr revIDLastSave="25" documentId="8_{86AB33D1-2B59-624B-B389-6DD742C92269}" xr6:coauthVersionLast="47" xr6:coauthVersionMax="47" xr10:uidLastSave="{1454DDD5-212F-CC43-8FF2-57E12FB88466}"/>
  <bookViews>
    <workbookView xWindow="0" yWindow="0" windowWidth="38400" windowHeight="21600" xr2:uid="{FC0731D1-03BF-A946-8F87-1E26062CF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B11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L27" i="1"/>
  <c r="L28" i="1"/>
  <c r="L29" i="1"/>
  <c r="L30" i="1"/>
  <c r="L26" i="1"/>
  <c r="E26" i="1"/>
  <c r="F26" i="1"/>
  <c r="G26" i="1"/>
  <c r="H26" i="1"/>
  <c r="M11" i="1" s="1"/>
  <c r="E27" i="1"/>
  <c r="L12" i="1" s="1"/>
  <c r="F27" i="1"/>
  <c r="G27" i="1"/>
  <c r="H27" i="1"/>
  <c r="E28" i="1"/>
  <c r="F28" i="1"/>
  <c r="G28" i="1"/>
  <c r="H28" i="1"/>
  <c r="M13" i="1" s="1"/>
  <c r="E29" i="1"/>
  <c r="L14" i="1" s="1"/>
  <c r="F29" i="1"/>
  <c r="G29" i="1"/>
  <c r="H29" i="1"/>
  <c r="E30" i="1"/>
  <c r="F30" i="1"/>
  <c r="G30" i="1"/>
  <c r="H30" i="1"/>
  <c r="M15" i="1" s="1"/>
  <c r="D27" i="1"/>
  <c r="K12" i="1" s="1"/>
  <c r="D28" i="1"/>
  <c r="K13" i="1" s="1"/>
  <c r="D29" i="1"/>
  <c r="K14" i="1" s="1"/>
  <c r="D30" i="1"/>
  <c r="D26" i="1"/>
  <c r="O11" i="1"/>
  <c r="P11" i="1"/>
  <c r="O12" i="1"/>
  <c r="P12" i="1"/>
  <c r="O13" i="1"/>
  <c r="P13" i="1"/>
  <c r="O14" i="1"/>
  <c r="P14" i="1"/>
  <c r="O15" i="1"/>
  <c r="N12" i="1"/>
  <c r="N13" i="1"/>
  <c r="N14" i="1"/>
  <c r="N15" i="1"/>
  <c r="N11" i="1"/>
  <c r="H12" i="1"/>
  <c r="I12" i="1"/>
  <c r="J12" i="1"/>
  <c r="H13" i="1"/>
  <c r="I13" i="1"/>
  <c r="J13" i="1"/>
  <c r="H14" i="1"/>
  <c r="I14" i="1"/>
  <c r="J14" i="1"/>
  <c r="H15" i="1"/>
  <c r="I15" i="1"/>
  <c r="J15" i="1"/>
  <c r="I11" i="1"/>
  <c r="J11" i="1"/>
  <c r="H11" i="1"/>
  <c r="E12" i="1"/>
  <c r="F12" i="1"/>
  <c r="G12" i="1"/>
  <c r="E13" i="1"/>
  <c r="F13" i="1"/>
  <c r="G13" i="1"/>
  <c r="E14" i="1"/>
  <c r="F14" i="1"/>
  <c r="G14" i="1"/>
  <c r="E15" i="1"/>
  <c r="F15" i="1"/>
  <c r="G15" i="1"/>
  <c r="F11" i="1"/>
  <c r="G11" i="1"/>
  <c r="E11" i="1"/>
  <c r="C12" i="1"/>
  <c r="D12" i="1"/>
  <c r="C13" i="1"/>
  <c r="D13" i="1"/>
  <c r="C14" i="1"/>
  <c r="D14" i="1"/>
  <c r="C15" i="1"/>
  <c r="D15" i="1"/>
  <c r="D11" i="1"/>
  <c r="C11" i="1"/>
  <c r="B13" i="1"/>
  <c r="B14" i="1"/>
  <c r="B15" i="1"/>
  <c r="B12" i="1"/>
  <c r="K15" i="1" l="1"/>
  <c r="M14" i="1"/>
  <c r="M12" i="1"/>
  <c r="K11" i="1"/>
  <c r="L15" i="1"/>
  <c r="L13" i="1"/>
  <c r="L11" i="1"/>
</calcChain>
</file>

<file path=xl/sharedStrings.xml><?xml version="1.0" encoding="utf-8"?>
<sst xmlns="http://schemas.openxmlformats.org/spreadsheetml/2006/main" count="58" uniqueCount="29">
  <si>
    <r>
      <t>PO</t>
    </r>
    <r>
      <rPr>
        <b/>
        <vertAlign val="subscript"/>
        <sz val="10"/>
        <color rgb="FF000000"/>
        <rFont val="Calibri"/>
        <family val="2"/>
      </rPr>
      <t>4</t>
    </r>
    <r>
      <rPr>
        <b/>
        <vertAlign val="superscript"/>
        <sz val="10"/>
        <color rgb="FF000000"/>
        <rFont val="Calibri"/>
        <family val="2"/>
      </rPr>
      <t>3-</t>
    </r>
    <r>
      <rPr>
        <b/>
        <sz val="10"/>
        <color rgb="FF000000"/>
        <rFont val="Calibri"/>
        <family val="2"/>
      </rPr>
      <t xml:space="preserve"> concentration (mg L</t>
    </r>
    <r>
      <rPr>
        <b/>
        <vertAlign val="superscript"/>
        <sz val="10"/>
        <color rgb="FF000000"/>
        <rFont val="Calibri"/>
        <family val="2"/>
      </rPr>
      <t>-1</t>
    </r>
    <r>
      <rPr>
        <b/>
        <sz val="10"/>
        <color rgb="FF000000"/>
        <rFont val="Calibri"/>
        <family val="2"/>
      </rPr>
      <t>)</t>
    </r>
  </si>
  <si>
    <r>
      <t>HCOOH</t>
    </r>
    <r>
      <rPr>
        <b/>
        <vertAlign val="superscript"/>
        <sz val="10"/>
        <color rgb="FF000000"/>
        <rFont val="Calibri"/>
        <family val="2"/>
      </rPr>
      <t>-</t>
    </r>
    <r>
      <rPr>
        <b/>
        <sz val="10"/>
        <color rgb="FF000000"/>
        <rFont val="Calibri"/>
        <family val="2"/>
      </rPr>
      <t xml:space="preserve"> concentration </t>
    </r>
  </si>
  <si>
    <r>
      <t>(mg L</t>
    </r>
    <r>
      <rPr>
        <b/>
        <vertAlign val="superscript"/>
        <sz val="10"/>
        <color rgb="FF000000"/>
        <rFont val="Calibri"/>
        <family val="2"/>
      </rPr>
      <t>-1</t>
    </r>
    <r>
      <rPr>
        <b/>
        <sz val="10"/>
        <color rgb="FF000000"/>
        <rFont val="Calibri"/>
        <family val="2"/>
      </rPr>
      <t>)</t>
    </r>
  </si>
  <si>
    <r>
      <t>Cl</t>
    </r>
    <r>
      <rPr>
        <b/>
        <vertAlign val="superscript"/>
        <sz val="10"/>
        <color rgb="FF000000"/>
        <rFont val="Calibri"/>
        <family val="2"/>
      </rPr>
      <t>-</t>
    </r>
    <r>
      <rPr>
        <b/>
        <sz val="10"/>
        <color rgb="FF000000"/>
        <rFont val="Calibri"/>
        <family val="2"/>
      </rPr>
      <t xml:space="preserve"> concentration </t>
    </r>
  </si>
  <si>
    <r>
      <t>NO</t>
    </r>
    <r>
      <rPr>
        <b/>
        <vertAlign val="subscript"/>
        <sz val="10"/>
        <color rgb="FF000000"/>
        <rFont val="Calibri"/>
        <family val="2"/>
      </rPr>
      <t>x</t>
    </r>
    <r>
      <rPr>
        <b/>
        <vertAlign val="superscript"/>
        <sz val="10"/>
        <color rgb="FF000000"/>
        <rFont val="Calibri"/>
        <family val="2"/>
      </rPr>
      <t>-</t>
    </r>
    <r>
      <rPr>
        <b/>
        <sz val="10"/>
        <color rgb="FF000000"/>
        <rFont val="Calibri"/>
        <family val="2"/>
      </rPr>
      <t xml:space="preserve"> concentration (mg L</t>
    </r>
    <r>
      <rPr>
        <b/>
        <vertAlign val="superscript"/>
        <sz val="10"/>
        <color rgb="FF000000"/>
        <rFont val="Calibri"/>
        <family val="2"/>
      </rPr>
      <t>-1</t>
    </r>
    <r>
      <rPr>
        <b/>
        <sz val="10"/>
        <color rgb="FF000000"/>
        <rFont val="Calibri"/>
        <family val="2"/>
      </rPr>
      <t>)</t>
    </r>
  </si>
  <si>
    <r>
      <t>SO</t>
    </r>
    <r>
      <rPr>
        <b/>
        <vertAlign val="subscript"/>
        <sz val="10"/>
        <color rgb="FF000000"/>
        <rFont val="Calibri"/>
        <family val="2"/>
      </rPr>
      <t>4</t>
    </r>
    <r>
      <rPr>
        <b/>
        <vertAlign val="superscript"/>
        <sz val="10"/>
        <color rgb="FF000000"/>
        <rFont val="Calibri"/>
        <family val="2"/>
      </rPr>
      <t>2-</t>
    </r>
    <r>
      <rPr>
        <b/>
        <sz val="10"/>
        <color rgb="FF000000"/>
        <rFont val="Calibri"/>
        <family val="2"/>
      </rPr>
      <t xml:space="preserve"> concentration (mg L</t>
    </r>
    <r>
      <rPr>
        <b/>
        <vertAlign val="superscript"/>
        <sz val="10"/>
        <color rgb="FF000000"/>
        <rFont val="Calibri"/>
        <family val="2"/>
      </rPr>
      <t>-1</t>
    </r>
    <r>
      <rPr>
        <b/>
        <sz val="10"/>
        <color rgb="FF000000"/>
        <rFont val="Calibri"/>
        <family val="2"/>
      </rPr>
      <t>)</t>
    </r>
  </si>
  <si>
    <t>Mean</t>
  </si>
  <si>
    <t>Med</t>
  </si>
  <si>
    <t>SD</t>
  </si>
  <si>
    <t>Nitrite</t>
  </si>
  <si>
    <t>Color</t>
  </si>
  <si>
    <t>n</t>
  </si>
  <si>
    <t>NO2_mean</t>
  </si>
  <si>
    <t>NO2_median</t>
  </si>
  <si>
    <t>NO2_max</t>
  </si>
  <si>
    <t>NO2_min</t>
  </si>
  <si>
    <t>NO2_sd</t>
  </si>
  <si>
    <t>green</t>
  </si>
  <si>
    <t>red</t>
  </si>
  <si>
    <t>red+green</t>
  </si>
  <si>
    <t>all</t>
  </si>
  <si>
    <t>clean</t>
  </si>
  <si>
    <t>NO3_mean</t>
  </si>
  <si>
    <t>NO3_median</t>
  </si>
  <si>
    <t>NO3_max</t>
  </si>
  <si>
    <t>NO3_min</t>
  </si>
  <si>
    <t>NO3_sd</t>
  </si>
  <si>
    <t>Nitrate</t>
  </si>
  <si>
    <t>red +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</si>
</sst>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"/>
  </numFmts>
  <fonts count="8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vertAlign val="subscript"/>
      <sz val="10"/>
      <color rgb="FF000000"/>
      <name val="Calibri"/>
      <family val="2"/>
    </font>
    <font>
      <b/>
      <vertAlign val="superscript"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70" fontId="0" fillId="0" borderId="0" xfId="0" applyNumberFormat="1"/>
    <xf numFmtId="17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61AE-9E93-0943-B17D-B3B0072B300E}">
  <dimension ref="A1:P30"/>
  <sheetViews>
    <sheetView tabSelected="1" topLeftCell="I1" workbookViewId="0">
      <selection activeCell="S21" sqref="S21"/>
    </sheetView>
  </sheetViews>
  <sheetFormatPr baseColWidth="10" defaultRowHeight="16" x14ac:dyDescent="0.2"/>
  <sheetData>
    <row r="1" spans="1:16" ht="16" customHeight="1" x14ac:dyDescent="0.2">
      <c r="B1" s="5" t="s">
        <v>0</v>
      </c>
      <c r="C1" s="6"/>
      <c r="D1" s="6"/>
      <c r="E1" s="9" t="s">
        <v>1</v>
      </c>
      <c r="F1" s="9"/>
      <c r="G1" s="9"/>
      <c r="H1" s="9" t="s">
        <v>3</v>
      </c>
      <c r="I1" s="9"/>
      <c r="J1" s="9"/>
      <c r="K1" s="9" t="s">
        <v>4</v>
      </c>
      <c r="L1" s="9"/>
      <c r="M1" s="9"/>
      <c r="N1" s="9" t="s">
        <v>5</v>
      </c>
      <c r="O1" s="9"/>
      <c r="P1" s="9"/>
    </row>
    <row r="2" spans="1:16" ht="17" thickBot="1" x14ac:dyDescent="0.25">
      <c r="B2" s="7"/>
      <c r="C2" s="8"/>
      <c r="D2" s="8"/>
      <c r="E2" s="8" t="s">
        <v>2</v>
      </c>
      <c r="F2" s="8"/>
      <c r="G2" s="8"/>
      <c r="H2" s="8" t="s">
        <v>2</v>
      </c>
      <c r="I2" s="8"/>
      <c r="J2" s="8"/>
      <c r="K2" s="8"/>
      <c r="L2" s="8"/>
      <c r="M2" s="8"/>
      <c r="N2" s="8"/>
      <c r="O2" s="8"/>
      <c r="P2" s="8"/>
    </row>
    <row r="3" spans="1:16" ht="17" thickBot="1" x14ac:dyDescent="0.25">
      <c r="B3" s="3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8</v>
      </c>
      <c r="K3" s="2" t="s">
        <v>6</v>
      </c>
      <c r="L3" s="2" t="s">
        <v>7</v>
      </c>
      <c r="M3" s="2" t="s">
        <v>8</v>
      </c>
      <c r="N3" s="2" t="s">
        <v>6</v>
      </c>
      <c r="O3" s="2" t="s">
        <v>7</v>
      </c>
      <c r="P3" s="2" t="s">
        <v>8</v>
      </c>
    </row>
    <row r="4" spans="1:16" x14ac:dyDescent="0.2">
      <c r="A4" t="s">
        <v>17</v>
      </c>
      <c r="B4" s="1">
        <v>18.63</v>
      </c>
      <c r="C4" s="4">
        <v>10.81</v>
      </c>
      <c r="D4" s="4">
        <v>23.59</v>
      </c>
      <c r="E4" s="4">
        <v>0.96109999999999995</v>
      </c>
      <c r="F4" s="4">
        <v>0.23200000000000001</v>
      </c>
      <c r="G4" s="4">
        <v>1.4890000000000001</v>
      </c>
      <c r="H4" s="4">
        <v>4.1920000000000002</v>
      </c>
      <c r="I4" s="4">
        <v>1.835</v>
      </c>
      <c r="J4" s="4">
        <v>6.4109999999999996</v>
      </c>
      <c r="K4" s="4">
        <v>0.84140000000000004</v>
      </c>
      <c r="L4" s="4">
        <v>0.59919999999999995</v>
      </c>
      <c r="M4" s="4">
        <v>0.74460000000000004</v>
      </c>
      <c r="N4" s="4">
        <v>1.74</v>
      </c>
      <c r="O4" s="4">
        <v>1.1759999999999999</v>
      </c>
      <c r="P4" s="4">
        <v>1.4770000000000001</v>
      </c>
    </row>
    <row r="5" spans="1:16" x14ac:dyDescent="0.2">
      <c r="A5" t="s">
        <v>18</v>
      </c>
      <c r="B5" s="1">
        <v>3.5350000000000001</v>
      </c>
      <c r="C5" s="4">
        <v>1.0860000000000001</v>
      </c>
      <c r="D5" s="4">
        <v>10.47</v>
      </c>
      <c r="E5" s="4">
        <v>0.3266</v>
      </c>
      <c r="F5" s="4">
        <v>0.34899999999999998</v>
      </c>
      <c r="G5" s="4">
        <v>0.26329999999999998</v>
      </c>
      <c r="H5" s="4">
        <v>2.121</v>
      </c>
      <c r="I5" s="4">
        <v>1.593</v>
      </c>
      <c r="J5" s="4">
        <v>1.726</v>
      </c>
      <c r="K5" s="4">
        <v>0.52349999999999997</v>
      </c>
      <c r="L5" s="4">
        <v>0.32500000000000001</v>
      </c>
      <c r="M5" s="4">
        <v>0.92149999999999999</v>
      </c>
      <c r="N5" s="4">
        <v>0.81720000000000004</v>
      </c>
      <c r="O5" s="4">
        <v>0.7</v>
      </c>
      <c r="P5" s="4">
        <v>0.5484</v>
      </c>
    </row>
    <row r="6" spans="1:16" x14ac:dyDescent="0.2">
      <c r="A6" t="s">
        <v>28</v>
      </c>
      <c r="B6" s="1">
        <v>11.26</v>
      </c>
      <c r="C6" s="4">
        <v>3.1139999999999999</v>
      </c>
      <c r="D6" s="4">
        <v>19.8</v>
      </c>
      <c r="E6" s="4">
        <v>0.65100000000000002</v>
      </c>
      <c r="F6" s="4">
        <v>0.26650000000000001</v>
      </c>
      <c r="G6" s="4">
        <v>1.121</v>
      </c>
      <c r="H6" s="4">
        <v>3.18</v>
      </c>
      <c r="I6" s="4">
        <v>1.7390000000000001</v>
      </c>
      <c r="J6" s="4">
        <v>4.8280000000000003</v>
      </c>
      <c r="K6" s="4">
        <v>0.68600000000000005</v>
      </c>
      <c r="L6" s="4">
        <v>0.41020000000000001</v>
      </c>
      <c r="M6" s="4">
        <v>0.84609999999999996</v>
      </c>
      <c r="N6" s="4">
        <v>1.2889999999999999</v>
      </c>
      <c r="O6" s="4">
        <v>0.82809999999999995</v>
      </c>
      <c r="P6" s="4">
        <v>1.21</v>
      </c>
    </row>
    <row r="7" spans="1:16" x14ac:dyDescent="0.2">
      <c r="A7" t="s">
        <v>21</v>
      </c>
      <c r="B7" s="1">
        <v>0.6048</v>
      </c>
      <c r="C7" s="4">
        <v>0.1462</v>
      </c>
      <c r="D7" s="4">
        <v>1.139</v>
      </c>
      <c r="E7" s="4">
        <v>0.2828</v>
      </c>
      <c r="F7" s="4">
        <v>0.2407</v>
      </c>
      <c r="G7" s="4">
        <v>0.2268</v>
      </c>
      <c r="H7" s="4">
        <v>3.569</v>
      </c>
      <c r="I7" s="4">
        <v>1.831</v>
      </c>
      <c r="J7" s="4">
        <v>3.9279999999999999</v>
      </c>
      <c r="K7" s="4">
        <v>0.32069999999999999</v>
      </c>
      <c r="L7" s="4">
        <v>0.23899999999999999</v>
      </c>
      <c r="M7" s="4">
        <v>0.26640000000000003</v>
      </c>
      <c r="N7" s="4">
        <v>0.77139999999999997</v>
      </c>
      <c r="O7" s="4">
        <v>0.62939999999999996</v>
      </c>
      <c r="P7" s="4">
        <v>0.32550000000000001</v>
      </c>
    </row>
    <row r="8" spans="1:16" x14ac:dyDescent="0.2">
      <c r="A8" t="s">
        <v>20</v>
      </c>
      <c r="B8" s="1">
        <v>9.4469999999999992</v>
      </c>
      <c r="C8" s="4">
        <v>1.6319999999999999</v>
      </c>
      <c r="D8" s="4">
        <v>18.47</v>
      </c>
      <c r="E8" s="4">
        <v>0.58850000000000002</v>
      </c>
      <c r="F8" s="4">
        <v>0.25659999999999999</v>
      </c>
      <c r="G8" s="4">
        <v>1.034</v>
      </c>
      <c r="H8" s="4">
        <v>3.246</v>
      </c>
      <c r="I8" s="4">
        <v>1.7390000000000001</v>
      </c>
      <c r="J8" s="4">
        <v>4.673</v>
      </c>
      <c r="K8" s="4">
        <v>0.624</v>
      </c>
      <c r="L8" s="4">
        <v>0.37459999999999999</v>
      </c>
      <c r="M8" s="4">
        <v>0.78969999999999996</v>
      </c>
      <c r="N8" s="4">
        <v>1.2010000000000001</v>
      </c>
      <c r="O8" s="4">
        <v>0.75480000000000003</v>
      </c>
      <c r="P8" s="4">
        <v>1.1259999999999999</v>
      </c>
    </row>
    <row r="11" spans="1:16" x14ac:dyDescent="0.2">
      <c r="A11" t="s">
        <v>17</v>
      </c>
      <c r="B11" s="13">
        <f>B4*10.53</f>
        <v>196.17389999999997</v>
      </c>
      <c r="C11" s="13">
        <f>C4*10.53</f>
        <v>113.8293</v>
      </c>
      <c r="D11" s="14">
        <f>D4*10.53</f>
        <v>248.40269999999998</v>
      </c>
      <c r="E11" s="13">
        <f>E4*22.21</f>
        <v>21.346031</v>
      </c>
      <c r="F11" s="13">
        <f t="shared" ref="F11:G11" si="0">F4*22.21</f>
        <v>5.1527200000000004</v>
      </c>
      <c r="G11" s="14">
        <f t="shared" si="0"/>
        <v>33.070690000000006</v>
      </c>
      <c r="H11" s="13">
        <f>H4*28.21</f>
        <v>118.25632</v>
      </c>
      <c r="I11" s="13">
        <f t="shared" ref="I11:J11" si="1">I4*28.21</f>
        <v>51.765349999999998</v>
      </c>
      <c r="J11" s="14">
        <f t="shared" si="1"/>
        <v>180.85431</v>
      </c>
      <c r="K11" s="13">
        <f>D26+L26</f>
        <v>14.460501999999998</v>
      </c>
      <c r="L11" s="13">
        <f>E26+M26</f>
        <v>8.1843619999999984</v>
      </c>
      <c r="M11" s="14">
        <f>H26+P26</f>
        <v>16.245438</v>
      </c>
      <c r="N11" s="13">
        <f>N4*10.41</f>
        <v>18.113399999999999</v>
      </c>
      <c r="O11" s="13">
        <f t="shared" ref="O11:P11" si="2">O4*10.41</f>
        <v>12.24216</v>
      </c>
      <c r="P11" s="14">
        <f t="shared" si="2"/>
        <v>15.375570000000002</v>
      </c>
    </row>
    <row r="12" spans="1:16" x14ac:dyDescent="0.2">
      <c r="A12" t="s">
        <v>18</v>
      </c>
      <c r="B12" s="13">
        <f>B5*10.53</f>
        <v>37.223549999999996</v>
      </c>
      <c r="C12" s="13">
        <f t="shared" ref="C12:D12" si="3">C5*10.53</f>
        <v>11.43558</v>
      </c>
      <c r="D12" s="14">
        <f t="shared" si="3"/>
        <v>110.2491</v>
      </c>
      <c r="E12" s="13">
        <f t="shared" ref="E12:G12" si="4">E5*22.21</f>
        <v>7.2537860000000007</v>
      </c>
      <c r="F12" s="13">
        <f t="shared" si="4"/>
        <v>7.75129</v>
      </c>
      <c r="G12" s="14">
        <f t="shared" si="4"/>
        <v>5.847893</v>
      </c>
      <c r="H12" s="13">
        <f t="shared" ref="H12:J12" si="5">H5*28.21</f>
        <v>59.833410000000001</v>
      </c>
      <c r="I12" s="13">
        <f t="shared" si="5"/>
        <v>44.93853</v>
      </c>
      <c r="J12" s="14">
        <f t="shared" si="5"/>
        <v>48.690460000000002</v>
      </c>
      <c r="K12" s="13">
        <f t="shared" ref="K12:K15" si="6">D27+L27</f>
        <v>8.9060884999999992</v>
      </c>
      <c r="L12" s="13">
        <f t="shared" ref="L12:L15" si="7">E27+M27</f>
        <v>4.0970199999999997</v>
      </c>
      <c r="M12" s="14">
        <f t="shared" ref="M12:M15" si="8">H27+P27</f>
        <v>18.205666999999998</v>
      </c>
      <c r="N12" s="13">
        <f t="shared" ref="N12:P15" si="9">N5*10.41</f>
        <v>8.5070519999999998</v>
      </c>
      <c r="O12" s="13">
        <f t="shared" si="9"/>
        <v>7.2869999999999999</v>
      </c>
      <c r="P12" s="14">
        <f t="shared" si="9"/>
        <v>5.708844</v>
      </c>
    </row>
    <row r="13" spans="1:16" x14ac:dyDescent="0.2">
      <c r="A13" t="s">
        <v>28</v>
      </c>
      <c r="B13" s="13">
        <f t="shared" ref="B13:D15" si="10">B6*10.53</f>
        <v>118.56779999999999</v>
      </c>
      <c r="C13" s="13">
        <f t="shared" si="10"/>
        <v>32.790419999999997</v>
      </c>
      <c r="D13" s="14">
        <f t="shared" si="10"/>
        <v>208.494</v>
      </c>
      <c r="E13" s="13">
        <f t="shared" ref="E13:G13" si="11">E6*22.21</f>
        <v>14.458710000000002</v>
      </c>
      <c r="F13" s="13">
        <f t="shared" si="11"/>
        <v>5.9189650000000009</v>
      </c>
      <c r="G13" s="14">
        <f t="shared" si="11"/>
        <v>24.897410000000001</v>
      </c>
      <c r="H13" s="13">
        <f t="shared" ref="H13:J13" si="12">H6*28.21</f>
        <v>89.707800000000006</v>
      </c>
      <c r="I13" s="13">
        <f t="shared" si="12"/>
        <v>49.057190000000006</v>
      </c>
      <c r="J13" s="14">
        <f t="shared" si="12"/>
        <v>136.19788000000003</v>
      </c>
      <c r="K13" s="13">
        <f t="shared" si="6"/>
        <v>11.74558</v>
      </c>
      <c r="L13" s="13">
        <f t="shared" si="7"/>
        <v>5.5116209999999999</v>
      </c>
      <c r="M13" s="14">
        <f t="shared" si="8"/>
        <v>17.648242</v>
      </c>
      <c r="N13" s="13">
        <f t="shared" si="9"/>
        <v>13.41849</v>
      </c>
      <c r="O13" s="13">
        <f t="shared" si="9"/>
        <v>8.6205210000000001</v>
      </c>
      <c r="P13" s="14">
        <f t="shared" si="9"/>
        <v>12.5961</v>
      </c>
    </row>
    <row r="14" spans="1:16" x14ac:dyDescent="0.2">
      <c r="A14" t="s">
        <v>21</v>
      </c>
      <c r="B14" s="13">
        <f t="shared" si="10"/>
        <v>6.368544</v>
      </c>
      <c r="C14" s="13">
        <f t="shared" si="10"/>
        <v>1.5394859999999999</v>
      </c>
      <c r="D14" s="14">
        <f t="shared" si="10"/>
        <v>11.99367</v>
      </c>
      <c r="E14" s="13">
        <f t="shared" ref="E14:G14" si="13">E7*22.21</f>
        <v>6.2809879999999998</v>
      </c>
      <c r="F14" s="13">
        <f t="shared" si="13"/>
        <v>5.3459469999999998</v>
      </c>
      <c r="G14" s="14">
        <f t="shared" si="13"/>
        <v>5.0372279999999998</v>
      </c>
      <c r="H14" s="13">
        <f t="shared" ref="H14:J14" si="14">H7*28.21</f>
        <v>100.68149</v>
      </c>
      <c r="I14" s="13">
        <f t="shared" si="14"/>
        <v>51.652509999999999</v>
      </c>
      <c r="J14" s="14">
        <f t="shared" si="14"/>
        <v>110.80888</v>
      </c>
      <c r="K14" s="13">
        <f t="shared" si="6"/>
        <v>10.670480000000001</v>
      </c>
      <c r="L14" s="13">
        <f t="shared" si="7"/>
        <v>5.087402</v>
      </c>
      <c r="M14" s="14">
        <f t="shared" si="8"/>
        <v>16.424928000000001</v>
      </c>
      <c r="N14" s="13">
        <f t="shared" si="9"/>
        <v>8.0302740000000004</v>
      </c>
      <c r="O14" s="13">
        <f t="shared" si="9"/>
        <v>6.552054</v>
      </c>
      <c r="P14" s="14">
        <f t="shared" si="9"/>
        <v>3.388455</v>
      </c>
    </row>
    <row r="15" spans="1:16" x14ac:dyDescent="0.2">
      <c r="A15" t="s">
        <v>20</v>
      </c>
      <c r="B15" s="13">
        <f t="shared" si="10"/>
        <v>99.47690999999999</v>
      </c>
      <c r="C15" s="13">
        <f t="shared" si="10"/>
        <v>17.184959999999997</v>
      </c>
      <c r="D15" s="14">
        <f t="shared" si="10"/>
        <v>194.48909999999998</v>
      </c>
      <c r="E15" s="13">
        <f t="shared" ref="E15:G15" si="15">E8*22.21</f>
        <v>13.070585000000001</v>
      </c>
      <c r="F15" s="13">
        <f t="shared" si="15"/>
        <v>5.6990860000000003</v>
      </c>
      <c r="G15" s="14">
        <f t="shared" si="15"/>
        <v>22.965140000000002</v>
      </c>
      <c r="H15" s="13">
        <f t="shared" ref="H15:J15" si="16">H8*28.21</f>
        <v>91.569659999999999</v>
      </c>
      <c r="I15" s="13">
        <f t="shared" si="16"/>
        <v>49.057190000000006</v>
      </c>
      <c r="J15" s="14">
        <f t="shared" si="16"/>
        <v>131.82533000000001</v>
      </c>
      <c r="K15" s="13">
        <f t="shared" si="6"/>
        <v>5.4085925999999995</v>
      </c>
      <c r="L15" s="13">
        <f t="shared" si="7"/>
        <v>3.5486</v>
      </c>
      <c r="M15" s="14">
        <f t="shared" si="8"/>
        <v>6.0245895999999997</v>
      </c>
      <c r="N15" s="13">
        <f t="shared" si="9"/>
        <v>12.502410000000001</v>
      </c>
      <c r="O15" s="13">
        <f t="shared" si="9"/>
        <v>7.8574680000000008</v>
      </c>
      <c r="P15" s="14">
        <f t="shared" si="9"/>
        <v>11.721659999999998</v>
      </c>
    </row>
    <row r="18" spans="2:16" x14ac:dyDescent="0.2">
      <c r="B18" t="s">
        <v>9</v>
      </c>
      <c r="J18" t="s">
        <v>27</v>
      </c>
    </row>
    <row r="19" spans="2:16" ht="19" x14ac:dyDescent="0.25">
      <c r="B19" s="10" t="s">
        <v>10</v>
      </c>
      <c r="C19" s="10" t="s">
        <v>11</v>
      </c>
      <c r="D19" s="10" t="s">
        <v>12</v>
      </c>
      <c r="E19" s="10" t="s">
        <v>13</v>
      </c>
      <c r="F19" s="10" t="s">
        <v>14</v>
      </c>
      <c r="G19" s="10" t="s">
        <v>15</v>
      </c>
      <c r="H19" s="10" t="s">
        <v>16</v>
      </c>
      <c r="J19" s="10" t="s">
        <v>10</v>
      </c>
      <c r="K19" s="10" t="s">
        <v>11</v>
      </c>
      <c r="L19" s="10" t="s">
        <v>22</v>
      </c>
      <c r="M19" s="10" t="s">
        <v>23</v>
      </c>
      <c r="N19" s="10" t="s">
        <v>24</v>
      </c>
      <c r="O19" s="10" t="s">
        <v>25</v>
      </c>
      <c r="P19" s="10" t="s">
        <v>26</v>
      </c>
    </row>
    <row r="20" spans="2:16" ht="20" x14ac:dyDescent="0.25">
      <c r="B20" s="11" t="s">
        <v>17</v>
      </c>
      <c r="C20" s="12">
        <v>45</v>
      </c>
      <c r="D20" s="12">
        <v>0.15870000000000001</v>
      </c>
      <c r="E20" s="12">
        <v>0</v>
      </c>
      <c r="F20" s="12">
        <v>1.1539999999999999</v>
      </c>
      <c r="G20" s="12">
        <v>0</v>
      </c>
      <c r="H20" s="12">
        <v>0.2954</v>
      </c>
      <c r="J20" s="11" t="s">
        <v>17</v>
      </c>
      <c r="K20" s="12">
        <v>45</v>
      </c>
      <c r="L20" s="12">
        <v>0.68269999999999997</v>
      </c>
      <c r="M20" s="12">
        <v>0.50739999999999996</v>
      </c>
      <c r="N20" s="12">
        <v>3.71</v>
      </c>
      <c r="O20" s="12">
        <v>0.1024</v>
      </c>
      <c r="P20" s="12">
        <v>0.60919999999999996</v>
      </c>
    </row>
    <row r="21" spans="2:16" ht="20" x14ac:dyDescent="0.25">
      <c r="B21" s="11" t="s">
        <v>18</v>
      </c>
      <c r="C21" s="12">
        <v>43</v>
      </c>
      <c r="D21" s="12">
        <v>8.2650000000000001E-2</v>
      </c>
      <c r="E21" s="12">
        <v>0</v>
      </c>
      <c r="F21" s="12">
        <v>1.042</v>
      </c>
      <c r="G21" s="12">
        <v>0</v>
      </c>
      <c r="H21" s="12">
        <v>0.18659999999999999</v>
      </c>
      <c r="J21" s="11" t="s">
        <v>18</v>
      </c>
      <c r="K21" s="12">
        <v>43</v>
      </c>
      <c r="L21" s="12">
        <v>0.44080000000000003</v>
      </c>
      <c r="M21" s="12">
        <v>0.254</v>
      </c>
      <c r="N21" s="12">
        <v>5.7309999999999999</v>
      </c>
      <c r="O21" s="12">
        <v>0</v>
      </c>
      <c r="P21" s="12">
        <v>0.87729999999999997</v>
      </c>
    </row>
    <row r="22" spans="2:16" ht="20" x14ac:dyDescent="0.25">
      <c r="B22" s="11" t="s">
        <v>19</v>
      </c>
      <c r="C22" s="12">
        <v>88</v>
      </c>
      <c r="D22" s="12">
        <v>0.1215</v>
      </c>
      <c r="E22" s="12">
        <v>0</v>
      </c>
      <c r="F22" s="12">
        <v>1.1539999999999999</v>
      </c>
      <c r="G22" s="12">
        <v>0</v>
      </c>
      <c r="H22" s="12">
        <v>0.24979999999999999</v>
      </c>
      <c r="J22" s="11" t="s">
        <v>19</v>
      </c>
      <c r="K22" s="12">
        <v>88</v>
      </c>
      <c r="L22" s="12">
        <v>0.5645</v>
      </c>
      <c r="M22" s="12">
        <v>0.3417</v>
      </c>
      <c r="N22" s="12">
        <v>5.7309999999999999</v>
      </c>
      <c r="O22" s="12">
        <v>0</v>
      </c>
      <c r="P22" s="12">
        <v>0.75760000000000005</v>
      </c>
    </row>
    <row r="23" spans="2:16" ht="20" x14ac:dyDescent="0.25">
      <c r="B23" s="11" t="s">
        <v>20</v>
      </c>
      <c r="C23" s="12">
        <v>106</v>
      </c>
      <c r="D23" s="12">
        <v>0.1081</v>
      </c>
      <c r="E23" s="12">
        <v>0</v>
      </c>
      <c r="F23" s="12">
        <v>1.1539999999999999</v>
      </c>
      <c r="G23" s="12">
        <v>0</v>
      </c>
      <c r="H23" s="12">
        <v>0.2324</v>
      </c>
      <c r="J23" s="11" t="s">
        <v>20</v>
      </c>
      <c r="K23" s="12">
        <v>106</v>
      </c>
      <c r="L23" s="12">
        <v>0.51590000000000003</v>
      </c>
      <c r="M23" s="12">
        <v>0.31540000000000001</v>
      </c>
      <c r="N23" s="12">
        <v>5.7309999999999999</v>
      </c>
      <c r="O23" s="12">
        <v>0</v>
      </c>
      <c r="P23" s="12">
        <v>0.70520000000000005</v>
      </c>
    </row>
    <row r="24" spans="2:16" ht="20" x14ac:dyDescent="0.25">
      <c r="B24" s="11" t="s">
        <v>21</v>
      </c>
      <c r="C24" s="12">
        <v>18</v>
      </c>
      <c r="D24" s="12">
        <v>4.2320000000000003E-2</v>
      </c>
      <c r="E24" s="12">
        <v>0</v>
      </c>
      <c r="F24" s="12">
        <v>0.35820000000000002</v>
      </c>
      <c r="G24" s="12">
        <v>0</v>
      </c>
      <c r="H24" s="12">
        <v>9.2119999999999994E-2</v>
      </c>
      <c r="J24" s="11" t="s">
        <v>21</v>
      </c>
      <c r="K24" s="12">
        <v>18</v>
      </c>
      <c r="L24" s="12">
        <v>0.27829999999999999</v>
      </c>
      <c r="M24" s="12">
        <v>0.22</v>
      </c>
      <c r="N24" s="12">
        <v>1.2030000000000001</v>
      </c>
      <c r="O24" s="12">
        <v>9.4E-2</v>
      </c>
      <c r="P24" s="12">
        <v>0.24940000000000001</v>
      </c>
    </row>
    <row r="26" spans="2:16" x14ac:dyDescent="0.2">
      <c r="D26">
        <f>D20*21.73</f>
        <v>3.4485510000000001</v>
      </c>
      <c r="E26">
        <f t="shared" ref="E26:H26" si="17">E20*21.73</f>
        <v>0</v>
      </c>
      <c r="F26">
        <f t="shared" si="17"/>
        <v>25.076419999999999</v>
      </c>
      <c r="G26">
        <f t="shared" si="17"/>
        <v>0</v>
      </c>
      <c r="H26">
        <f t="shared" si="17"/>
        <v>6.4190420000000001</v>
      </c>
      <c r="L26">
        <f>L20*16.13</f>
        <v>11.011950999999998</v>
      </c>
      <c r="M26">
        <f t="shared" ref="M26:P26" si="18">M20*16.13</f>
        <v>8.1843619999999984</v>
      </c>
      <c r="N26">
        <f t="shared" si="18"/>
        <v>59.842299999999994</v>
      </c>
      <c r="O26">
        <f t="shared" si="18"/>
        <v>1.6517120000000001</v>
      </c>
      <c r="P26">
        <f t="shared" si="18"/>
        <v>9.826395999999999</v>
      </c>
    </row>
    <row r="27" spans="2:16" x14ac:dyDescent="0.2">
      <c r="D27">
        <f t="shared" ref="D27:H30" si="19">D21*21.73</f>
        <v>1.7959845000000001</v>
      </c>
      <c r="E27">
        <f t="shared" si="19"/>
        <v>0</v>
      </c>
      <c r="F27">
        <f t="shared" si="19"/>
        <v>22.642660000000003</v>
      </c>
      <c r="G27">
        <f t="shared" si="19"/>
        <v>0</v>
      </c>
      <c r="H27">
        <f t="shared" si="19"/>
        <v>4.054818</v>
      </c>
      <c r="L27">
        <f t="shared" ref="L27:P30" si="20">L21*16.13</f>
        <v>7.1101039999999998</v>
      </c>
      <c r="M27">
        <f t="shared" si="20"/>
        <v>4.0970199999999997</v>
      </c>
      <c r="N27">
        <f t="shared" si="20"/>
        <v>92.441029999999998</v>
      </c>
      <c r="O27">
        <f t="shared" si="20"/>
        <v>0</v>
      </c>
      <c r="P27">
        <f t="shared" si="20"/>
        <v>14.150848999999999</v>
      </c>
    </row>
    <row r="28" spans="2:16" x14ac:dyDescent="0.2">
      <c r="D28">
        <f t="shared" si="19"/>
        <v>2.6401949999999998</v>
      </c>
      <c r="E28">
        <f t="shared" si="19"/>
        <v>0</v>
      </c>
      <c r="F28">
        <f t="shared" si="19"/>
        <v>25.076419999999999</v>
      </c>
      <c r="G28">
        <f t="shared" si="19"/>
        <v>0</v>
      </c>
      <c r="H28">
        <f t="shared" si="19"/>
        <v>5.4281540000000001</v>
      </c>
      <c r="L28">
        <f t="shared" si="20"/>
        <v>9.1053850000000001</v>
      </c>
      <c r="M28">
        <f t="shared" si="20"/>
        <v>5.5116209999999999</v>
      </c>
      <c r="N28">
        <f t="shared" si="20"/>
        <v>92.441029999999998</v>
      </c>
      <c r="O28">
        <f t="shared" si="20"/>
        <v>0</v>
      </c>
      <c r="P28">
        <f t="shared" si="20"/>
        <v>12.220088000000001</v>
      </c>
    </row>
    <row r="29" spans="2:16" x14ac:dyDescent="0.2">
      <c r="D29">
        <f t="shared" si="19"/>
        <v>2.3490130000000002</v>
      </c>
      <c r="E29">
        <f t="shared" si="19"/>
        <v>0</v>
      </c>
      <c r="F29">
        <f t="shared" si="19"/>
        <v>25.076419999999999</v>
      </c>
      <c r="G29">
        <f t="shared" si="19"/>
        <v>0</v>
      </c>
      <c r="H29">
        <f t="shared" si="19"/>
        <v>5.050052</v>
      </c>
      <c r="L29">
        <f t="shared" si="20"/>
        <v>8.3214670000000002</v>
      </c>
      <c r="M29">
        <f t="shared" si="20"/>
        <v>5.087402</v>
      </c>
      <c r="N29">
        <f t="shared" si="20"/>
        <v>92.441029999999998</v>
      </c>
      <c r="O29">
        <f t="shared" si="20"/>
        <v>0</v>
      </c>
      <c r="P29">
        <f t="shared" si="20"/>
        <v>11.374876</v>
      </c>
    </row>
    <row r="30" spans="2:16" x14ac:dyDescent="0.2">
      <c r="D30">
        <f t="shared" si="19"/>
        <v>0.91961360000000014</v>
      </c>
      <c r="E30">
        <f t="shared" si="19"/>
        <v>0</v>
      </c>
      <c r="F30">
        <f t="shared" si="19"/>
        <v>7.7836860000000003</v>
      </c>
      <c r="G30">
        <f t="shared" si="19"/>
        <v>0</v>
      </c>
      <c r="H30">
        <f t="shared" si="19"/>
        <v>2.0017676</v>
      </c>
      <c r="L30">
        <f t="shared" si="20"/>
        <v>4.4889789999999996</v>
      </c>
      <c r="M30">
        <f t="shared" si="20"/>
        <v>3.5486</v>
      </c>
      <c r="N30">
        <f t="shared" si="20"/>
        <v>19.404389999999999</v>
      </c>
      <c r="O30">
        <f t="shared" si="20"/>
        <v>1.5162199999999999</v>
      </c>
      <c r="P30">
        <f t="shared" si="20"/>
        <v>4.0228219999999997</v>
      </c>
    </row>
  </sheetData>
  <mergeCells count="7">
    <mergeCell ref="N1:P2"/>
    <mergeCell ref="B1:D2"/>
    <mergeCell ref="E1:G1"/>
    <mergeCell ref="E2:G2"/>
    <mergeCell ref="H1:J1"/>
    <mergeCell ref="H2:J2"/>
    <mergeCell ref="K1:M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46140c-e26f-43ef-b0ae-00f257f478ff}" enabled="0" method="" siteId="{dc46140c-e26f-43ef-b0ae-00f257f478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Ryan</dc:creator>
  <cp:lastModifiedBy>Ellie Ryan</cp:lastModifiedBy>
  <dcterms:created xsi:type="dcterms:W3CDTF">2026-02-05T23:43:18Z</dcterms:created>
  <dcterms:modified xsi:type="dcterms:W3CDTF">2026-02-06T00:10:29Z</dcterms:modified>
</cp:coreProperties>
</file>